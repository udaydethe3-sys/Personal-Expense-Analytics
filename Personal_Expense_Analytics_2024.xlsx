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Data" sheetId="1" state="visible" r:id="rId1"/>
    <sheet xmlns:r="http://schemas.openxmlformats.org/officeDocument/2006/relationships" name="Category Breakdown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1">
    <font>
      <name val="Calibri"/>
      <family val="2"/>
      <color theme="1"/>
      <sz val="11"/>
      <scheme val="minor"/>
    </font>
    <font>
      <name val="Arial"/>
      <b val="1"/>
      <color rgb="002E4057"/>
      <sz val="15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2E4057"/>
      <sz val="14"/>
    </font>
    <font>
      <name val="Arial"/>
      <b val="1"/>
      <color rgb="00FFFFFF"/>
      <sz val="10"/>
    </font>
    <font>
      <name val="Arial"/>
      <b val="1"/>
      <color rgb="002E4057"/>
      <sz val="13"/>
    </font>
    <font>
      <name val="Arial"/>
      <b val="1"/>
      <color rgb="002E4057"/>
      <sz val="11"/>
    </font>
    <font>
      <name val="Arial"/>
      <color rgb="002E4057"/>
      <sz val="10"/>
    </font>
  </fonts>
  <fills count="9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9C74F"/>
      </patternFill>
    </fill>
    <fill>
      <patternFill patternType="solid">
        <fgColor rgb="00E94F37"/>
      </patternFill>
    </fill>
    <fill>
      <patternFill patternType="solid">
        <fgColor rgb="00EAF4F4"/>
      </patternFill>
    </fill>
    <fill>
      <patternFill patternType="solid">
        <fgColor rgb="00048A8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by Category (2024)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'Expense 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Data'!$A$4:$A$15</f>
            </numRef>
          </cat>
          <val>
            <numRef>
              <f>'Expense Data'!$B$4:$B$15</f>
            </numRef>
          </val>
        </ser>
        <ser>
          <idx val="1"/>
          <order val="1"/>
          <tx>
            <strRef>
              <f>'Expense 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Data'!$A$4:$A$15</f>
            </numRef>
          </cat>
          <val>
            <numRef>
              <f>'Expense Data'!$C$4:$C$15</f>
            </numRef>
          </val>
        </ser>
        <ser>
          <idx val="2"/>
          <order val="2"/>
          <tx>
            <strRef>
              <f>'Expense Data'!D3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Data'!$A$4:$A$15</f>
            </numRef>
          </cat>
          <val>
            <numRef>
              <f>'Expense Data'!$D$4:$D$15</f>
            </numRef>
          </val>
        </ser>
        <ser>
          <idx val="3"/>
          <order val="3"/>
          <tx>
            <strRef>
              <f>'Expense Data'!E3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Data'!$A$4:$A$15</f>
            </numRef>
          </cat>
          <val>
            <numRef>
              <f>'Expense Data'!$E$4:$E$15</f>
            </numRef>
          </val>
        </ser>
        <ser>
          <idx val="4"/>
          <order val="4"/>
          <tx>
            <strRef>
              <f>'Expense Data'!F3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Data'!$A$4:$A$15</f>
            </numRef>
          </cat>
          <val>
            <numRef>
              <f>'Expense Data'!$F$4:$F$15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Breakdown'!B3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Breakdown'!$A$4:$A$8</f>
            </numRef>
          </cat>
          <val>
            <numRef>
              <f>'Category Breakdown'!$B$4:$B$8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</cols>
  <sheetData>
    <row r="1" ht="35" customHeight="1">
      <c r="A1" s="1" t="inlineStr">
        <is>
          <t>💰 Personal Expense Analytics Report — 2024</t>
        </is>
      </c>
    </row>
    <row r="2" ht="8" customHeight="1"/>
    <row r="3" ht="25" customHeight="1">
      <c r="A3" s="2" t="inlineStr">
        <is>
          <t>Month</t>
        </is>
      </c>
      <c r="B3" s="2" t="inlineStr">
        <is>
          <t>Food (₹)</t>
        </is>
      </c>
      <c r="C3" s="2" t="inlineStr">
        <is>
          <t>Transport (₹)</t>
        </is>
      </c>
      <c r="D3" s="2" t="inlineStr">
        <is>
          <t>Rent (₹)</t>
        </is>
      </c>
      <c r="E3" s="2" t="inlineStr">
        <is>
          <t>Entertainment (₹)</t>
        </is>
      </c>
      <c r="F3" s="2" t="inlineStr">
        <is>
          <t>Shopping (₹)</t>
        </is>
      </c>
      <c r="G3" s="2" t="inlineStr">
        <is>
          <t>Total (₹)</t>
        </is>
      </c>
    </row>
    <row r="4" ht="20" customHeight="1">
      <c r="A4" s="3" t="inlineStr">
        <is>
          <t>January</t>
        </is>
      </c>
      <c r="B4" s="4" t="n">
        <v>4500</v>
      </c>
      <c r="C4" s="4" t="n">
        <v>1200</v>
      </c>
      <c r="D4" s="4" t="n">
        <v>8000</v>
      </c>
      <c r="E4" s="4" t="n">
        <v>2000</v>
      </c>
      <c r="F4" s="4" t="n">
        <v>3000</v>
      </c>
      <c r="G4" s="5">
        <f>SUM(B4:F4)</f>
        <v/>
      </c>
    </row>
    <row r="5" ht="20" customHeight="1">
      <c r="A5" s="6" t="inlineStr">
        <is>
          <t>February</t>
        </is>
      </c>
      <c r="B5" s="7" t="n">
        <v>4200</v>
      </c>
      <c r="C5" s="7" t="n">
        <v>1100</v>
      </c>
      <c r="D5" s="7" t="n">
        <v>8000</v>
      </c>
      <c r="E5" s="7" t="n">
        <v>1500</v>
      </c>
      <c r="F5" s="7" t="n">
        <v>2500</v>
      </c>
      <c r="G5" s="8">
        <f>SUM(B5:F5)</f>
        <v/>
      </c>
    </row>
    <row r="6" ht="20" customHeight="1">
      <c r="A6" s="3" t="inlineStr">
        <is>
          <t>March</t>
        </is>
      </c>
      <c r="B6" s="4" t="n">
        <v>4800</v>
      </c>
      <c r="C6" s="4" t="n">
        <v>1300</v>
      </c>
      <c r="D6" s="4" t="n">
        <v>8000</v>
      </c>
      <c r="E6" s="4" t="n">
        <v>2500</v>
      </c>
      <c r="F6" s="4" t="n">
        <v>3500</v>
      </c>
      <c r="G6" s="5">
        <f>SUM(B6:F6)</f>
        <v/>
      </c>
    </row>
    <row r="7" ht="20" customHeight="1">
      <c r="A7" s="6" t="inlineStr">
        <is>
          <t>April</t>
        </is>
      </c>
      <c r="B7" s="7" t="n">
        <v>5000</v>
      </c>
      <c r="C7" s="7" t="n">
        <v>1400</v>
      </c>
      <c r="D7" s="7" t="n">
        <v>8000</v>
      </c>
      <c r="E7" s="7" t="n">
        <v>1800</v>
      </c>
      <c r="F7" s="7" t="n">
        <v>2800</v>
      </c>
      <c r="G7" s="8">
        <f>SUM(B7:F7)</f>
        <v/>
      </c>
    </row>
    <row r="8" ht="20" customHeight="1">
      <c r="A8" s="3" t="inlineStr">
        <is>
          <t>May</t>
        </is>
      </c>
      <c r="B8" s="4" t="n">
        <v>4700</v>
      </c>
      <c r="C8" s="4" t="n">
        <v>1250</v>
      </c>
      <c r="D8" s="4" t="n">
        <v>8000</v>
      </c>
      <c r="E8" s="4" t="n">
        <v>2200</v>
      </c>
      <c r="F8" s="4" t="n">
        <v>3200</v>
      </c>
      <c r="G8" s="5">
        <f>SUM(B8:F8)</f>
        <v/>
      </c>
    </row>
    <row r="9" ht="20" customHeight="1">
      <c r="A9" s="6" t="inlineStr">
        <is>
          <t>June</t>
        </is>
      </c>
      <c r="B9" s="7" t="n">
        <v>5200</v>
      </c>
      <c r="C9" s="7" t="n">
        <v>1500</v>
      </c>
      <c r="D9" s="7" t="n">
        <v>8000</v>
      </c>
      <c r="E9" s="7" t="n">
        <v>3000</v>
      </c>
      <c r="F9" s="7" t="n">
        <v>4000</v>
      </c>
      <c r="G9" s="8">
        <f>SUM(B9:F9)</f>
        <v/>
      </c>
    </row>
    <row r="10" ht="20" customHeight="1">
      <c r="A10" s="3" t="inlineStr">
        <is>
          <t>July</t>
        </is>
      </c>
      <c r="B10" s="4" t="n">
        <v>5500</v>
      </c>
      <c r="C10" s="4" t="n">
        <v>1600</v>
      </c>
      <c r="D10" s="4" t="n">
        <v>8000</v>
      </c>
      <c r="E10" s="4" t="n">
        <v>3500</v>
      </c>
      <c r="F10" s="4" t="n">
        <v>4500</v>
      </c>
      <c r="G10" s="5">
        <f>SUM(B10:F10)</f>
        <v/>
      </c>
    </row>
    <row r="11" ht="20" customHeight="1">
      <c r="A11" s="6" t="inlineStr">
        <is>
          <t>August</t>
        </is>
      </c>
      <c r="B11" s="7" t="n">
        <v>5300</v>
      </c>
      <c r="C11" s="7" t="n">
        <v>1550</v>
      </c>
      <c r="D11" s="7" t="n">
        <v>8000</v>
      </c>
      <c r="E11" s="7" t="n">
        <v>2800</v>
      </c>
      <c r="F11" s="7" t="n">
        <v>3800</v>
      </c>
      <c r="G11" s="8">
        <f>SUM(B11:F11)</f>
        <v/>
      </c>
    </row>
    <row r="12" ht="20" customHeight="1">
      <c r="A12" s="3" t="inlineStr">
        <is>
          <t>September</t>
        </is>
      </c>
      <c r="B12" s="4" t="n">
        <v>4900</v>
      </c>
      <c r="C12" s="4" t="n">
        <v>1350</v>
      </c>
      <c r="D12" s="4" t="n">
        <v>8000</v>
      </c>
      <c r="E12" s="4" t="n">
        <v>2100</v>
      </c>
      <c r="F12" s="4" t="n">
        <v>3100</v>
      </c>
      <c r="G12" s="5">
        <f>SUM(B12:F12)</f>
        <v/>
      </c>
    </row>
    <row r="13" ht="20" customHeight="1">
      <c r="A13" s="6" t="inlineStr">
        <is>
          <t>October</t>
        </is>
      </c>
      <c r="B13" s="7" t="n">
        <v>5100</v>
      </c>
      <c r="C13" s="7" t="n">
        <v>1450</v>
      </c>
      <c r="D13" s="7" t="n">
        <v>8000</v>
      </c>
      <c r="E13" s="7" t="n">
        <v>2400</v>
      </c>
      <c r="F13" s="7" t="n">
        <v>3500</v>
      </c>
      <c r="G13" s="8">
        <f>SUM(B13:F13)</f>
        <v/>
      </c>
    </row>
    <row r="14" ht="20" customHeight="1">
      <c r="A14" s="3" t="inlineStr">
        <is>
          <t>November</t>
        </is>
      </c>
      <c r="B14" s="4" t="n">
        <v>5800</v>
      </c>
      <c r="C14" s="4" t="n">
        <v>1700</v>
      </c>
      <c r="D14" s="4" t="n">
        <v>8000</v>
      </c>
      <c r="E14" s="4" t="n">
        <v>3200</v>
      </c>
      <c r="F14" s="4" t="n">
        <v>5000</v>
      </c>
      <c r="G14" s="5">
        <f>SUM(B14:F14)</f>
        <v/>
      </c>
    </row>
    <row r="15" ht="20" customHeight="1">
      <c r="A15" s="6" t="inlineStr">
        <is>
          <t>December</t>
        </is>
      </c>
      <c r="B15" s="7" t="n">
        <v>6200</v>
      </c>
      <c r="C15" s="7" t="n">
        <v>1800</v>
      </c>
      <c r="D15" s="7" t="n">
        <v>8000</v>
      </c>
      <c r="E15" s="7" t="n">
        <v>4000</v>
      </c>
      <c r="F15" s="7" t="n">
        <v>6000</v>
      </c>
      <c r="G15" s="8">
        <f>SUM(B15:F15)</f>
        <v/>
      </c>
    </row>
    <row r="16" ht="22" customHeight="1">
      <c r="A16" s="9" t="inlineStr">
        <is>
          <t>ANNUAL TOTAL</t>
        </is>
      </c>
      <c r="B16" s="10">
        <f>SUM(B4:B15)</f>
        <v/>
      </c>
      <c r="C16" s="10">
        <f>SUM(C4:C15)</f>
        <v/>
      </c>
      <c r="D16" s="10">
        <f>SUM(D4:D15)</f>
        <v/>
      </c>
      <c r="E16" s="10">
        <f>SUM(E4:E15)</f>
        <v/>
      </c>
      <c r="F16" s="10">
        <f>SUM(F4:F15)</f>
        <v/>
      </c>
      <c r="G16" s="10">
        <f>SUM(G4:G15)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 ht="30" customHeight="1">
      <c r="A1" s="1" t="inlineStr">
        <is>
          <t>Annual Expense Category Breakdown</t>
        </is>
      </c>
    </row>
    <row r="3" ht="22" customHeight="1">
      <c r="A3" s="2" t="inlineStr">
        <is>
          <t>Category</t>
        </is>
      </c>
      <c r="B3" s="2" t="inlineStr">
        <is>
          <t>Annual Amount (₹)</t>
        </is>
      </c>
    </row>
    <row r="4" ht="20" customHeight="1">
      <c r="A4" s="3" t="inlineStr">
        <is>
          <t>Food</t>
        </is>
      </c>
      <c r="B4" s="4" t="n">
        <v>61200</v>
      </c>
    </row>
    <row r="5" ht="20" customHeight="1">
      <c r="A5" s="6" t="inlineStr">
        <is>
          <t>Transport</t>
        </is>
      </c>
      <c r="B5" s="7" t="n">
        <v>17200</v>
      </c>
    </row>
    <row r="6" ht="20" customHeight="1">
      <c r="A6" s="3" t="inlineStr">
        <is>
          <t>Rent</t>
        </is>
      </c>
      <c r="B6" s="4" t="n">
        <v>96000</v>
      </c>
    </row>
    <row r="7" ht="20" customHeight="1">
      <c r="A7" s="6" t="inlineStr">
        <is>
          <t>Entertainment</t>
        </is>
      </c>
      <c r="B7" s="7" t="n">
        <v>31000</v>
      </c>
    </row>
    <row r="8" ht="20" customHeight="1">
      <c r="A8" s="3" t="inlineStr">
        <is>
          <t>Shopping</t>
        </is>
      </c>
      <c r="B8" s="4" t="n">
        <v>44900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1" t="inlineStr">
        <is>
          <t>Personal Expense — Summary Dashboard</t>
        </is>
      </c>
    </row>
    <row r="3" ht="22" customHeight="1">
      <c r="A3" s="12" t="inlineStr">
        <is>
          <t>Total Annual Expense</t>
        </is>
      </c>
      <c r="B3" s="13" t="inlineStr">
        <is>
          <t>Highest Monthly Expense</t>
        </is>
      </c>
      <c r="C3" s="14" t="inlineStr">
        <is>
          <t>Avg Monthly Expense</t>
        </is>
      </c>
      <c r="D3" s="15" t="inlineStr">
        <is>
          <t>Biggest Category</t>
        </is>
      </c>
    </row>
    <row r="4" ht="30" customHeight="1">
      <c r="A4" s="16">
        <f>SUM('Expense Data'!G4:G15)</f>
        <v/>
      </c>
      <c r="B4" s="16">
        <f>MAX('Expense Data'!G4:G15)</f>
        <v/>
      </c>
      <c r="C4" s="16">
        <f>AVERAGE('Expense Data'!G4:G15)</f>
        <v/>
      </c>
      <c r="D4" s="17" t="inlineStr">
        <is>
          <t>Rent</t>
        </is>
      </c>
    </row>
    <row r="6" ht="20" customHeight="1">
      <c r="A6" s="18" t="inlineStr">
        <is>
          <t>Key Insights</t>
        </is>
      </c>
    </row>
    <row r="7" ht="20" customHeight="1">
      <c r="A7" s="19" t="inlineStr">
        <is>
          <t>🏠 Rent is the largest fixed expense every month.</t>
        </is>
      </c>
    </row>
    <row r="8" ht="20" customHeight="1">
      <c r="A8" s="19" t="inlineStr">
        <is>
          <t>🛍️ Shopping and Entertainment spike during festive months (Oct-Dec).</t>
        </is>
      </c>
    </row>
    <row r="9" ht="20" customHeight="1">
      <c r="A9" s="19" t="inlineStr">
        <is>
          <t>🚗 Transport costs are relatively stable throughout the year.</t>
        </is>
      </c>
    </row>
    <row r="10" ht="20" customHeight="1">
      <c r="A10" s="19" t="inlineStr">
        <is>
          <t>💡 Reducing Entertainment &amp; Shopping can save ₹10,000+ annually.</t>
        </is>
      </c>
    </row>
  </sheetData>
  <mergeCells count="6">
    <mergeCell ref="A1:D1"/>
    <mergeCell ref="A9:D9"/>
    <mergeCell ref="A8:D8"/>
    <mergeCell ref="A6:D6"/>
    <mergeCell ref="A7:D7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2026-06-05T05:02:31Z</dcterms:created>
  <dcterms:modified xmlns:dcterms="http://purl.org/dc/terms/" xmlns:xsi="http://www.w3.org/2001/XMLSchema-instance" xsi:type="dcterms:W3CDTF">2026-06-05T05:02:31Z</dcterms:modified>
</cp:coreProperties>
</file>